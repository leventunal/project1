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en\Downloads\"/>
    </mc:Choice>
  </mc:AlternateContent>
  <xr:revisionPtr revIDLastSave="0" documentId="13_ncr:1_{2C5DE1D6-3BE5-426A-971C-C6A4F2C4B773}" xr6:coauthVersionLast="47" xr6:coauthVersionMax="47" xr10:uidLastSave="{00000000-0000-0000-0000-000000000000}"/>
  <bookViews>
    <workbookView xWindow="-110" yWindow="-110" windowWidth="25820" windowHeight="15500" xr2:uid="{55DF8462-CF11-DE4A-8564-5826B3607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H14" i="1" s="1"/>
  <c r="G13" i="1"/>
  <c r="H13" i="1"/>
  <c r="H15" i="1"/>
  <c r="H16" i="1"/>
  <c r="H12" i="1"/>
  <c r="F14" i="1"/>
  <c r="E14" i="1"/>
  <c r="E13" i="1"/>
  <c r="F13" i="1"/>
  <c r="D13" i="1"/>
  <c r="C13" i="1"/>
</calcChain>
</file>

<file path=xl/sharedStrings.xml><?xml version="1.0" encoding="utf-8"?>
<sst xmlns="http://schemas.openxmlformats.org/spreadsheetml/2006/main" count="7" uniqueCount="7">
  <si>
    <t>a0</t>
  </si>
  <si>
    <t>a1</t>
  </si>
  <si>
    <t>a2</t>
  </si>
  <si>
    <t>r1</t>
  </si>
  <si>
    <t>r2</t>
  </si>
  <si>
    <t>6-month Transition Matrix for a 50-54-Year-Old Woman who has a Mammogram</t>
  </si>
  <si>
    <t>6-month Transition Matrix for a 50-54-Year-Old Woman Who Does Not Have  A Mammogram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</si>
</sst>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0EF9-D63D-1D40-AC4F-3BFDA92AA7CB}">
  <dimension ref="B1:H20"/>
  <sheetViews>
    <sheetView tabSelected="1" zoomScale="122" zoomScaleNormal="210" workbookViewId="0">
      <selection activeCell="I9" sqref="I9"/>
    </sheetView>
  </sheetViews>
  <sheetFormatPr defaultColWidth="10.6640625" defaultRowHeight="16" x14ac:dyDescent="0.4"/>
  <sheetData>
    <row r="1" spans="2:8" ht="47" customHeight="1" x14ac:dyDescent="0.4">
      <c r="C1" s="6" t="s">
        <v>6</v>
      </c>
      <c r="D1" s="6"/>
      <c r="E1" s="6"/>
      <c r="F1" s="6"/>
      <c r="G1" s="6"/>
    </row>
    <row r="2" spans="2:8" x14ac:dyDescent="0.4">
      <c r="B2" s="4"/>
      <c r="C2" s="5">
        <v>0</v>
      </c>
      <c r="D2" s="5">
        <v>1</v>
      </c>
      <c r="E2" s="5">
        <v>2</v>
      </c>
      <c r="F2" s="5">
        <v>3</v>
      </c>
      <c r="G2" s="5">
        <v>4</v>
      </c>
    </row>
    <row r="3" spans="2:8" x14ac:dyDescent="0.4">
      <c r="B3" s="5">
        <v>0</v>
      </c>
      <c r="C3" s="4">
        <v>0.99702999999999997</v>
      </c>
      <c r="D3" s="4">
        <v>1.2814E-3</v>
      </c>
      <c r="E3" s="4">
        <v>0</v>
      </c>
      <c r="F3" s="4">
        <v>0</v>
      </c>
      <c r="G3" s="4">
        <v>1.6886000000000401E-3</v>
      </c>
    </row>
    <row r="4" spans="2:8" x14ac:dyDescent="0.4">
      <c r="B4" s="5">
        <v>1</v>
      </c>
      <c r="C4" s="4">
        <v>0</v>
      </c>
      <c r="D4" s="4">
        <v>0.86316999999999999</v>
      </c>
      <c r="E4" s="4">
        <v>0.13514000000000001</v>
      </c>
      <c r="F4" s="4">
        <v>0</v>
      </c>
      <c r="G4" s="4">
        <v>1.6899999999999693E-3</v>
      </c>
    </row>
    <row r="5" spans="2:8" x14ac:dyDescent="0.4">
      <c r="B5" s="5">
        <v>2</v>
      </c>
      <c r="C5" s="4">
        <v>0</v>
      </c>
      <c r="D5" s="4">
        <v>0</v>
      </c>
      <c r="E5" s="4">
        <v>0.85731999999999997</v>
      </c>
      <c r="F5" s="4">
        <v>0.14099</v>
      </c>
      <c r="G5" s="4">
        <v>1.6899999999999693E-3</v>
      </c>
    </row>
    <row r="6" spans="2:8" x14ac:dyDescent="0.4">
      <c r="B6" s="5">
        <v>3</v>
      </c>
      <c r="C6" s="4">
        <v>0</v>
      </c>
      <c r="D6" s="4">
        <v>0</v>
      </c>
      <c r="E6" s="4">
        <v>0</v>
      </c>
      <c r="F6" s="4">
        <v>1</v>
      </c>
      <c r="G6" s="4">
        <v>0</v>
      </c>
    </row>
    <row r="7" spans="2:8" x14ac:dyDescent="0.4">
      <c r="B7" s="5">
        <v>4</v>
      </c>
      <c r="C7" s="4">
        <v>0</v>
      </c>
      <c r="D7" s="4">
        <v>0</v>
      </c>
      <c r="E7" s="4">
        <v>0</v>
      </c>
      <c r="F7" s="4">
        <v>0</v>
      </c>
      <c r="G7" s="4">
        <v>1</v>
      </c>
    </row>
    <row r="10" spans="2:8" ht="34" customHeight="1" x14ac:dyDescent="0.4">
      <c r="C10" s="6" t="s">
        <v>5</v>
      </c>
      <c r="D10" s="6"/>
      <c r="E10" s="6"/>
      <c r="F10" s="6"/>
      <c r="G10" s="6"/>
    </row>
    <row r="11" spans="2:8" x14ac:dyDescent="0.4">
      <c r="B11" s="4"/>
      <c r="C11" s="5">
        <v>0</v>
      </c>
      <c r="D11" s="5">
        <v>1</v>
      </c>
      <c r="E11" s="5">
        <v>2</v>
      </c>
      <c r="F11" s="5">
        <v>3</v>
      </c>
      <c r="G11" s="5">
        <v>4</v>
      </c>
    </row>
    <row r="12" spans="2:8" x14ac:dyDescent="0.4">
      <c r="B12" s="5">
        <v>0</v>
      </c>
      <c r="C12" s="4">
        <v>0.99702999999999997</v>
      </c>
      <c r="D12" s="4">
        <v>1.2814E-3</v>
      </c>
      <c r="E12" s="4">
        <v>0</v>
      </c>
      <c r="F12" s="4">
        <v>0</v>
      </c>
      <c r="G12" s="4">
        <v>1.6886000000000401E-3</v>
      </c>
      <c r="H12" s="7">
        <f>SUM(C12:G12)</f>
        <v>1</v>
      </c>
    </row>
    <row r="13" spans="2:8" x14ac:dyDescent="0.4">
      <c r="B13" s="5">
        <v>1</v>
      </c>
      <c r="C13" s="4">
        <f>(1-C19)*C4</f>
        <v>0</v>
      </c>
      <c r="D13" s="4">
        <f>(1-C19)*D4</f>
        <v>0.12559986670000003</v>
      </c>
      <c r="E13" s="4">
        <f>(1-C19)*E4</f>
        <v>1.9664221400000004E-2</v>
      </c>
      <c r="F13" s="4">
        <f>C19*F18</f>
        <v>0.1813911372</v>
      </c>
      <c r="G13" s="4">
        <f>C19*(1-F18)+(1-C19)*G4</f>
        <v>0.67334477469999998</v>
      </c>
      <c r="H13" s="7">
        <f t="shared" ref="H13:H16" si="0">SUM(C13:G13)</f>
        <v>1</v>
      </c>
    </row>
    <row r="14" spans="2:8" x14ac:dyDescent="0.4">
      <c r="B14" s="5">
        <v>2</v>
      </c>
      <c r="C14" s="4">
        <v>0</v>
      </c>
      <c r="D14" s="4">
        <v>0</v>
      </c>
      <c r="E14" s="4">
        <f>(1-C20)*E5</f>
        <v>5.8092003200000034E-2</v>
      </c>
      <c r="F14" s="4">
        <f>(1-C20)*F5+ C20*F19</f>
        <v>0.51380209840000002</v>
      </c>
      <c r="G14" s="4">
        <f>C20*(1-F19)+(1-C20)*G12</f>
        <v>0.42810580353599992</v>
      </c>
      <c r="H14" s="7">
        <f t="shared" si="0"/>
        <v>0.99999990513600001</v>
      </c>
    </row>
    <row r="15" spans="2:8" x14ac:dyDescent="0.4">
      <c r="B15" s="5">
        <v>3</v>
      </c>
      <c r="C15" s="4">
        <v>0</v>
      </c>
      <c r="D15" s="4">
        <v>0</v>
      </c>
      <c r="E15" s="4">
        <v>0</v>
      </c>
      <c r="F15" s="4">
        <v>1</v>
      </c>
      <c r="G15" s="4">
        <v>0</v>
      </c>
      <c r="H15" s="7">
        <f t="shared" si="0"/>
        <v>1</v>
      </c>
    </row>
    <row r="16" spans="2:8" x14ac:dyDescent="0.4">
      <c r="B16" s="5">
        <v>4</v>
      </c>
      <c r="C16" s="4">
        <v>0</v>
      </c>
      <c r="D16" s="4">
        <v>0</v>
      </c>
      <c r="E16" s="4">
        <v>0</v>
      </c>
      <c r="F16" s="4">
        <v>0</v>
      </c>
      <c r="G16" s="4">
        <v>1</v>
      </c>
      <c r="H16" s="7">
        <f t="shared" si="0"/>
        <v>1</v>
      </c>
    </row>
    <row r="18" spans="2:6" x14ac:dyDescent="0.4">
      <c r="B18" s="3" t="s">
        <v>0</v>
      </c>
      <c r="C18" s="2">
        <v>7.3921000000000004E-3</v>
      </c>
      <c r="E18" s="1" t="s">
        <v>3</v>
      </c>
      <c r="F18">
        <v>0.21228</v>
      </c>
    </row>
    <row r="19" spans="2:6" x14ac:dyDescent="0.4">
      <c r="B19" s="3" t="s">
        <v>1</v>
      </c>
      <c r="C19" s="2">
        <v>0.85448999999999997</v>
      </c>
      <c r="E19" s="1" t="s">
        <v>4</v>
      </c>
      <c r="F19">
        <v>0.54090000000000005</v>
      </c>
    </row>
    <row r="20" spans="2:6" x14ac:dyDescent="0.4">
      <c r="B20" s="3" t="s">
        <v>2</v>
      </c>
      <c r="C20" s="2">
        <v>0.93223999999999996</v>
      </c>
    </row>
  </sheetData>
  <mergeCells count="2">
    <mergeCell ref="C1:G1"/>
    <mergeCell ref="C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Balasubramanian</dc:creator>
  <cp:lastModifiedBy>Levent Unal</cp:lastModifiedBy>
  <dcterms:created xsi:type="dcterms:W3CDTF">2025-10-16T18:41:26Z</dcterms:created>
  <dcterms:modified xsi:type="dcterms:W3CDTF">2026-10-06T21:01:42Z</dcterms:modified>
</cp:coreProperties>
</file>